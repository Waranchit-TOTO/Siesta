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ranchit/+NanoTec/workshop-siesta-transiesta/1-SIESTA_calculation/"/>
    </mc:Choice>
  </mc:AlternateContent>
  <xr:revisionPtr revIDLastSave="0" documentId="13_ncr:1_{1DDC3065-2C5A-0F44-ADB8-8A58F0FFDA20}" xr6:coauthVersionLast="47" xr6:coauthVersionMax="47" xr10:uidLastSave="{00000000-0000-0000-0000-000000000000}"/>
  <bookViews>
    <workbookView xWindow="14640" yWindow="660" windowWidth="14760" windowHeight="18460" xr2:uid="{90EF0E6B-E1CF-8743-9CC0-4D3A9BE4BE87}"/>
  </bookViews>
  <sheets>
    <sheet name="Convergence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D27" i="1"/>
  <c r="E27" i="1" s="1"/>
  <c r="D26" i="1"/>
  <c r="E26" i="1"/>
  <c r="E18" i="1"/>
  <c r="E20" i="1" s="1"/>
  <c r="D18" i="1"/>
  <c r="D20" i="1" s="1"/>
  <c r="C18" i="1"/>
  <c r="C20" i="1" s="1"/>
  <c r="D7" i="1"/>
  <c r="E7" i="1" s="1"/>
  <c r="D8" i="1"/>
  <c r="E8" i="1" s="1"/>
  <c r="D9" i="1"/>
  <c r="E9" i="1" s="1"/>
  <c r="D10" i="1"/>
  <c r="E10" i="1" s="1"/>
  <c r="D11" i="1"/>
  <c r="E11" i="1" s="1"/>
  <c r="D23" i="1" l="1"/>
  <c r="E22" i="1"/>
  <c r="E23" i="1"/>
  <c r="E21" i="1"/>
  <c r="C23" i="1"/>
  <c r="D22" i="1"/>
  <c r="C22" i="1"/>
  <c r="D21" i="1"/>
  <c r="C21" i="1"/>
</calcChain>
</file>

<file path=xl/sharedStrings.xml><?xml version="1.0" encoding="utf-8"?>
<sst xmlns="http://schemas.openxmlformats.org/spreadsheetml/2006/main" count="22" uniqueCount="16">
  <si>
    <t>Convergence testing for MeshCutoff</t>
  </si>
  <si>
    <t>At 0.2/A K-point grids</t>
  </si>
  <si>
    <t>Etot (eV)</t>
  </si>
  <si>
    <t>eV diff</t>
  </si>
  <si>
    <t>Ry diff</t>
  </si>
  <si>
    <t>Convergence testing for k-points mesh</t>
  </si>
  <si>
    <t>R (A)</t>
  </si>
  <si>
    <t>G (/A)</t>
  </si>
  <si>
    <t>kpoints</t>
  </si>
  <si>
    <t>&lt;--Ref</t>
  </si>
  <si>
    <t>6x6x2</t>
  </si>
  <si>
    <t>7x7x3</t>
  </si>
  <si>
    <t>9x9x3</t>
  </si>
  <si>
    <t>12x12x4</t>
  </si>
  <si>
    <t>Grid distance (/A)</t>
  </si>
  <si>
    <t>MeshCutoff (Ry)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</si>
</sst>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1" fillId="0" borderId="1" xfId="0" applyFont="1" applyBorder="1" applyAlignment="1">
      <alignment horizontal="righ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392E-0DC6-7340-B304-1D91D6B4A401}">
  <dimension ref="B3:E29"/>
  <sheetViews>
    <sheetView tabSelected="1" zoomScale="175" zoomScaleNormal="150" workbookViewId="0">
      <selection activeCell="D8" sqref="D8"/>
    </sheetView>
  </sheetViews>
  <sheetFormatPr baseColWidth="10" defaultRowHeight="16" x14ac:dyDescent="0.2"/>
  <cols>
    <col min="2" max="2" width="14.6640625" customWidth="1"/>
    <col min="4" max="4" width="11" bestFit="1" customWidth="1"/>
    <col min="5" max="5" width="13" bestFit="1" customWidth="1"/>
  </cols>
  <sheetData>
    <row r="3" spans="2:5" x14ac:dyDescent="0.2">
      <c r="B3" t="s">
        <v>0</v>
      </c>
    </row>
    <row r="4" spans="2:5" x14ac:dyDescent="0.2">
      <c r="B4" t="s">
        <v>1</v>
      </c>
    </row>
    <row r="6" spans="2:5" x14ac:dyDescent="0.2">
      <c r="B6" s="3" t="s">
        <v>15</v>
      </c>
      <c r="C6" s="3" t="s">
        <v>2</v>
      </c>
      <c r="D6" t="s">
        <v>3</v>
      </c>
      <c r="E6" t="s">
        <v>4</v>
      </c>
    </row>
    <row r="7" spans="2:5" x14ac:dyDescent="0.2">
      <c r="B7" s="3">
        <v>150</v>
      </c>
      <c r="C7" s="4">
        <v>-5591.741771</v>
      </c>
      <c r="D7" s="1">
        <f t="shared" ref="D7:D10" si="0">$C$12-C7</f>
        <v>7.3698999999578518E-2</v>
      </c>
      <c r="E7" s="1">
        <f>D7/13.61</f>
        <v>5.4150624540469155E-3</v>
      </c>
    </row>
    <row r="8" spans="2:5" x14ac:dyDescent="0.2">
      <c r="B8" s="3">
        <v>200</v>
      </c>
      <c r="C8" s="4">
        <v>-5591.6908919999996</v>
      </c>
      <c r="D8" s="1">
        <f t="shared" si="0"/>
        <v>2.2819999999228457E-2</v>
      </c>
      <c r="E8" s="1">
        <f t="shared" ref="E8:E11" si="1">D8/13.61</f>
        <v>1.6767083026618999E-3</v>
      </c>
    </row>
    <row r="9" spans="2:5" x14ac:dyDescent="0.2">
      <c r="B9" s="3">
        <v>250</v>
      </c>
      <c r="C9" s="4">
        <v>-5591.6827469999998</v>
      </c>
      <c r="D9" s="1">
        <f t="shared" si="0"/>
        <v>1.4674999999442662E-2</v>
      </c>
      <c r="E9" s="1">
        <f t="shared" si="1"/>
        <v>1.0782512857783E-3</v>
      </c>
    </row>
    <row r="10" spans="2:5" x14ac:dyDescent="0.2">
      <c r="B10" s="5">
        <v>300</v>
      </c>
      <c r="C10" s="6">
        <v>-5591.67436</v>
      </c>
      <c r="D10" s="2">
        <f t="shared" si="0"/>
        <v>6.2879999995857361E-3</v>
      </c>
      <c r="E10" s="2">
        <f t="shared" si="1"/>
        <v>4.6201322553899606E-4</v>
      </c>
    </row>
    <row r="11" spans="2:5" x14ac:dyDescent="0.2">
      <c r="B11" s="3">
        <v>400</v>
      </c>
      <c r="C11" s="4">
        <v>-5591.6711310000001</v>
      </c>
      <c r="D11" s="1">
        <f>$C$12-C11</f>
        <v>3.0589999996664119E-3</v>
      </c>
      <c r="E11" s="1">
        <f t="shared" si="1"/>
        <v>2.2476120497181572E-4</v>
      </c>
    </row>
    <row r="12" spans="2:5" x14ac:dyDescent="0.2">
      <c r="B12" s="3">
        <v>600</v>
      </c>
      <c r="C12" s="4">
        <v>-5591.6680720000004</v>
      </c>
      <c r="D12" t="s">
        <v>9</v>
      </c>
      <c r="E12" t="s">
        <v>9</v>
      </c>
    </row>
    <row r="15" spans="2:5" x14ac:dyDescent="0.2">
      <c r="B15" t="s">
        <v>5</v>
      </c>
    </row>
    <row r="17" spans="2:5" x14ac:dyDescent="0.2">
      <c r="B17" s="3" t="s">
        <v>6</v>
      </c>
      <c r="C17" s="7">
        <v>3.68</v>
      </c>
      <c r="D17" s="7">
        <v>3.68</v>
      </c>
      <c r="E17" s="7">
        <v>12.34</v>
      </c>
    </row>
    <row r="18" spans="2:5" x14ac:dyDescent="0.2">
      <c r="B18" s="3" t="s">
        <v>7</v>
      </c>
      <c r="C18" s="3">
        <f>2*PI()/C17</f>
        <v>1.7073873117335832</v>
      </c>
      <c r="D18" s="3">
        <f t="shared" ref="D18:E18" si="2">2*PI()/D17</f>
        <v>1.7073873117335832</v>
      </c>
      <c r="E18" s="3">
        <f t="shared" si="2"/>
        <v>0.50917222910693571</v>
      </c>
    </row>
    <row r="19" spans="2:5" x14ac:dyDescent="0.2">
      <c r="B19" t="s">
        <v>14</v>
      </c>
    </row>
    <row r="20" spans="2:5" x14ac:dyDescent="0.2">
      <c r="B20" s="3">
        <v>0.3</v>
      </c>
      <c r="C20" s="3">
        <f t="shared" ref="C20:C22" si="3">ROUNDUP($C$18/B20,0)</f>
        <v>6</v>
      </c>
      <c r="D20" s="3">
        <f t="shared" ref="D20:D22" si="4">ROUNDUP($D$18/B20,0)</f>
        <v>6</v>
      </c>
      <c r="E20" s="3">
        <f t="shared" ref="E20:E22" si="5">ROUNDUP($E$18/B20,0)</f>
        <v>2</v>
      </c>
    </row>
    <row r="21" spans="2:5" x14ac:dyDescent="0.2">
      <c r="B21" s="3">
        <v>0.25</v>
      </c>
      <c r="C21" s="3">
        <f t="shared" si="3"/>
        <v>7</v>
      </c>
      <c r="D21" s="3">
        <f t="shared" si="4"/>
        <v>7</v>
      </c>
      <c r="E21" s="3">
        <f t="shared" si="5"/>
        <v>3</v>
      </c>
    </row>
    <row r="22" spans="2:5" x14ac:dyDescent="0.2">
      <c r="B22" s="3">
        <v>0.2</v>
      </c>
      <c r="C22" s="3">
        <f t="shared" si="3"/>
        <v>9</v>
      </c>
      <c r="D22" s="3">
        <f t="shared" si="4"/>
        <v>9</v>
      </c>
      <c r="E22" s="3">
        <f t="shared" si="5"/>
        <v>3</v>
      </c>
    </row>
    <row r="23" spans="2:5" x14ac:dyDescent="0.2">
      <c r="B23" s="3">
        <v>0.15</v>
      </c>
      <c r="C23" s="3">
        <f>ROUNDUP($C$18/B23,0)</f>
        <v>12</v>
      </c>
      <c r="D23" s="3">
        <f t="shared" ref="D23" si="6">ROUNDUP($D$18/B23,0)</f>
        <v>12</v>
      </c>
      <c r="E23" s="3">
        <f t="shared" ref="E23" si="7">ROUNDUP($E$18/B23,0)</f>
        <v>4</v>
      </c>
    </row>
    <row r="25" spans="2:5" x14ac:dyDescent="0.2">
      <c r="B25" s="3" t="s">
        <v>8</v>
      </c>
      <c r="C25" s="3" t="s">
        <v>2</v>
      </c>
      <c r="D25" t="s">
        <v>3</v>
      </c>
      <c r="E25" t="s">
        <v>4</v>
      </c>
    </row>
    <row r="26" spans="2:5" x14ac:dyDescent="0.2">
      <c r="B26" s="5" t="s">
        <v>10</v>
      </c>
      <c r="C26" s="5">
        <v>-5591.6744120000003</v>
      </c>
      <c r="D26" s="2">
        <f>$C$29-C26</f>
        <v>5.2000000323459972E-5</v>
      </c>
      <c r="E26" s="2">
        <f>D26/13.61</f>
        <v>3.8207200825466551E-6</v>
      </c>
    </row>
    <row r="27" spans="2:5" x14ac:dyDescent="0.2">
      <c r="B27" s="3" t="s">
        <v>11</v>
      </c>
      <c r="C27" s="3">
        <v>-5591.6738969999997</v>
      </c>
      <c r="D27" s="1">
        <f t="shared" ref="D27" si="8">$C$29-C27</f>
        <v>-4.6300000030896626E-4</v>
      </c>
      <c r="E27" s="1">
        <f t="shared" ref="E27:E28" si="9">D27/13.61</f>
        <v>-3.4019103622995317E-5</v>
      </c>
    </row>
    <row r="28" spans="2:5" x14ac:dyDescent="0.2">
      <c r="B28" s="3" t="s">
        <v>12</v>
      </c>
      <c r="C28" s="3">
        <v>-5591.6741510000002</v>
      </c>
      <c r="D28" s="1">
        <f>$C$29-C28</f>
        <v>-2.0899999981338624E-4</v>
      </c>
      <c r="E28" s="1">
        <f t="shared" si="9"/>
        <v>-1.5356355607155491E-5</v>
      </c>
    </row>
    <row r="29" spans="2:5" x14ac:dyDescent="0.2">
      <c r="B29" s="3" t="s">
        <v>13</v>
      </c>
      <c r="C29" s="3">
        <v>-5591.67436</v>
      </c>
      <c r="D29" t="s">
        <v>9</v>
      </c>
      <c r="E2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Convergence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WARANCHIT RUEANGSRISANG</dc:creator>
  <cp:lastModifiedBy>WARANCHIT RUEANGSRISANG</cp:lastModifiedBy>
  <dcterms:created xsi:type="dcterms:W3CDTF">2026-06-04T15:15:20Z</dcterms:created>
  <dcterms:modified xsi:type="dcterms:W3CDTF">2026-06-08T04:54:46Z</dcterms:modified>
</cp:coreProperties>
</file>